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_\Desktop\school\aerpaw\vehicle-pcbs\LightBoard\"/>
    </mc:Choice>
  </mc:AlternateContent>
  <xr:revisionPtr revIDLastSave="0" documentId="8_{62BC444B-A466-48B8-B4AA-CAF6961BF0AD}" xr6:coauthVersionLast="47" xr6:coauthVersionMax="47" xr10:uidLastSave="{00000000-0000-0000-0000-000000000000}"/>
  <bookViews>
    <workbookView xWindow="-120" yWindow="-120" windowWidth="38640" windowHeight="21390" xr2:uid="{CC17A7D1-F5A4-4069-9DE5-6DAE2DE01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F13" i="1"/>
  <c r="G13" i="1" s="1"/>
  <c r="G7" i="1"/>
  <c r="G2" i="1"/>
  <c r="G3" i="1"/>
  <c r="G4" i="1"/>
  <c r="G5" i="1"/>
  <c r="G6" i="1"/>
  <c r="G8" i="1"/>
  <c r="G15" i="1" l="1"/>
</calcChain>
</file>

<file path=xl/sharedStrings.xml><?xml version="1.0" encoding="utf-8"?>
<sst xmlns="http://schemas.openxmlformats.org/spreadsheetml/2006/main" count="42" uniqueCount="42">
  <si>
    <t>Reference</t>
  </si>
  <si>
    <t>Footprint</t>
  </si>
  <si>
    <t>Qty</t>
  </si>
  <si>
    <t>Price (1)</t>
  </si>
  <si>
    <t>Price (total)</t>
  </si>
  <si>
    <t>C1</t>
  </si>
  <si>
    <t>J1, J2</t>
  </si>
  <si>
    <t>Part</t>
  </si>
  <si>
    <t>R1, R2, R4, R5, R8</t>
  </si>
  <si>
    <t>R3</t>
  </si>
  <si>
    <t>R6</t>
  </si>
  <si>
    <t>R7</t>
  </si>
  <si>
    <t>U1</t>
  </si>
  <si>
    <t>Cap 0.1u</t>
  </si>
  <si>
    <t>Misc</t>
  </si>
  <si>
    <t>JST_EH 2x2.5mm Male Horiz</t>
  </si>
  <si>
    <t>Res 10k</t>
  </si>
  <si>
    <t>Res 0.22 1%</t>
  </si>
  <si>
    <t>Res 80k</t>
  </si>
  <si>
    <t>https://www.digikey.com/en/products/detail/eaton-electronics-division/MFHA1206R2200FC/16713417</t>
  </si>
  <si>
    <t>Res 35 0.5W</t>
  </si>
  <si>
    <t>IS32LT3140A</t>
  </si>
  <si>
    <t>https://www.digikey.com/en/products/detail/lumissil-microsystems/IS32LT3140A-ZLA3-TR/15194878</t>
  </si>
  <si>
    <t>14-TSSOP</t>
  </si>
  <si>
    <t>Current tuning</t>
  </si>
  <si>
    <t>LED Driver</t>
  </si>
  <si>
    <t>Power shunt (optional)</t>
  </si>
  <si>
    <t>https://www.digikey.com/en/products/detail/jst-sales-america-inc/S2B-EH/926533?0=%2Fheaders-male-pins&amp;s=N4IgjCBcoGwJxVAYygMwIYBsDOBTANCAPZQDaIALGGHAEwQC6hADgC5QgDKrATgJYA7AOYgAvoQAcExCBSQMOAsTLh6AZlowQTEGw7d%2BwseJC0VAKU4AVAAQBRABI3aAOgCsAWw-bRQA</t>
  </si>
  <si>
    <t>Rated for 3A</t>
  </si>
  <si>
    <t>https://www.digikey.com/en/products/detail/yageo/SR1206JR-7T36RL/9696427</t>
  </si>
  <si>
    <t>https://www.digikey.com/en/products/detail/yageo/RC1206FR-0710KL/728483</t>
  </si>
  <si>
    <t>https://www.digikey.com/en/products/detail/yageo/RC1206FR-0780K6L/729126</t>
  </si>
  <si>
    <t>https://www.digikey.com/en/products/detail/vishay-sprague/293D104X9035A2TE3/1559461</t>
  </si>
  <si>
    <t>Decoupling (tantalum)</t>
  </si>
  <si>
    <t>PCB</t>
  </si>
  <si>
    <t>JLCPCB</t>
  </si>
  <si>
    <t>Link</t>
  </si>
  <si>
    <t>Heat Sink</t>
  </si>
  <si>
    <t>https://www.digikey.com/en/products/detail/sparkfun-electronics/PRT-18704/21443080</t>
  </si>
  <si>
    <t>Optional</t>
  </si>
  <si>
    <t>M3 Standoff</t>
  </si>
  <si>
    <t>https://www.digikey.com/en/products/detail/keystone-electronics/24339/1532140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</si>
</sst>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eaton-electronics-division/MFHA1206R2200FC/16713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F16E-124C-449E-9740-A4BA79F41F2E}">
  <dimension ref="A1:H15"/>
  <sheetViews>
    <sheetView tabSelected="1" workbookViewId="0">
      <selection activeCell="I7" sqref="I7"/>
    </sheetView>
  </sheetViews>
  <sheetFormatPr defaultRowHeight="15" x14ac:dyDescent="0.25"/>
  <cols>
    <col min="1" max="1" width="16.28515625" customWidth="1"/>
    <col min="2" max="2" width="25.7109375" customWidth="1"/>
    <col min="7" max="7" width="13.7109375" customWidth="1"/>
    <col min="8" max="8" width="21.42578125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36</v>
      </c>
      <c r="F1" t="s">
        <v>3</v>
      </c>
      <c r="G1" t="s">
        <v>4</v>
      </c>
      <c r="H1" t="s">
        <v>14</v>
      </c>
    </row>
    <row r="2" spans="1:8" x14ac:dyDescent="0.25">
      <c r="A2" t="s">
        <v>5</v>
      </c>
      <c r="B2" t="s">
        <v>13</v>
      </c>
      <c r="C2">
        <v>1206</v>
      </c>
      <c r="D2">
        <v>1</v>
      </c>
      <c r="E2" t="s">
        <v>32</v>
      </c>
      <c r="F2" s="2">
        <v>0.43</v>
      </c>
      <c r="G2" s="2">
        <f t="shared" ref="G2:G7" si="0">F2*D2</f>
        <v>0.43</v>
      </c>
      <c r="H2" t="s">
        <v>33</v>
      </c>
    </row>
    <row r="3" spans="1:8" x14ac:dyDescent="0.25">
      <c r="A3" t="s">
        <v>6</v>
      </c>
      <c r="B3" t="s">
        <v>15</v>
      </c>
      <c r="D3">
        <v>2</v>
      </c>
      <c r="E3" t="s">
        <v>27</v>
      </c>
      <c r="F3" s="2">
        <v>0.12</v>
      </c>
      <c r="G3" s="2">
        <f t="shared" si="0"/>
        <v>0.24</v>
      </c>
      <c r="H3" t="s">
        <v>28</v>
      </c>
    </row>
    <row r="4" spans="1:8" x14ac:dyDescent="0.25">
      <c r="A4" t="s">
        <v>8</v>
      </c>
      <c r="B4" t="s">
        <v>16</v>
      </c>
      <c r="C4">
        <v>1206</v>
      </c>
      <c r="D4">
        <v>5</v>
      </c>
      <c r="E4" t="s">
        <v>30</v>
      </c>
      <c r="F4" s="2">
        <v>0.1</v>
      </c>
      <c r="G4" s="2">
        <f t="shared" si="0"/>
        <v>0.5</v>
      </c>
    </row>
    <row r="5" spans="1:8" x14ac:dyDescent="0.25">
      <c r="A5" t="s">
        <v>9</v>
      </c>
      <c r="B5" t="s">
        <v>17</v>
      </c>
      <c r="C5">
        <v>1206</v>
      </c>
      <c r="D5">
        <v>1</v>
      </c>
      <c r="E5" s="1" t="s">
        <v>19</v>
      </c>
      <c r="F5" s="2">
        <v>0.34</v>
      </c>
      <c r="G5" s="2">
        <f t="shared" si="0"/>
        <v>0.34</v>
      </c>
      <c r="H5" t="s">
        <v>24</v>
      </c>
    </row>
    <row r="6" spans="1:8" x14ac:dyDescent="0.25">
      <c r="A6" t="s">
        <v>10</v>
      </c>
      <c r="B6" t="s">
        <v>18</v>
      </c>
      <c r="C6">
        <v>1206</v>
      </c>
      <c r="D6">
        <v>1</v>
      </c>
      <c r="E6" t="s">
        <v>31</v>
      </c>
      <c r="F6" s="2">
        <v>0.1</v>
      </c>
      <c r="G6" s="2">
        <f>F7*D6</f>
        <v>0.75</v>
      </c>
    </row>
    <row r="7" spans="1:8" x14ac:dyDescent="0.25">
      <c r="A7" t="s">
        <v>11</v>
      </c>
      <c r="B7" t="s">
        <v>20</v>
      </c>
      <c r="C7">
        <v>1206</v>
      </c>
      <c r="D7">
        <v>1</v>
      </c>
      <c r="E7" t="s">
        <v>29</v>
      </c>
      <c r="F7" s="2">
        <v>0.75</v>
      </c>
      <c r="G7" s="2">
        <f t="shared" si="0"/>
        <v>0.75</v>
      </c>
      <c r="H7" t="s">
        <v>26</v>
      </c>
    </row>
    <row r="8" spans="1:8" x14ac:dyDescent="0.25">
      <c r="A8" t="s">
        <v>12</v>
      </c>
      <c r="B8" t="s">
        <v>21</v>
      </c>
      <c r="C8" t="s">
        <v>23</v>
      </c>
      <c r="D8">
        <v>1</v>
      </c>
      <c r="E8" t="s">
        <v>22</v>
      </c>
      <c r="F8" s="2">
        <v>2</v>
      </c>
      <c r="G8" s="2">
        <f>F8*D8</f>
        <v>2</v>
      </c>
      <c r="H8" t="s">
        <v>25</v>
      </c>
    </row>
    <row r="9" spans="1:8" x14ac:dyDescent="0.25">
      <c r="F9" s="2"/>
    </row>
    <row r="10" spans="1:8" x14ac:dyDescent="0.25">
      <c r="A10" t="s">
        <v>37</v>
      </c>
      <c r="D10">
        <v>1</v>
      </c>
      <c r="E10" t="s">
        <v>38</v>
      </c>
      <c r="F10" s="2">
        <v>2.44</v>
      </c>
      <c r="G10" s="2">
        <f>F10*D10</f>
        <v>2.44</v>
      </c>
      <c r="H10" t="s">
        <v>39</v>
      </c>
    </row>
    <row r="11" spans="1:8" x14ac:dyDescent="0.25">
      <c r="A11" t="s">
        <v>40</v>
      </c>
      <c r="D11">
        <v>6</v>
      </c>
      <c r="E11" t="s">
        <v>41</v>
      </c>
      <c r="F11" s="2">
        <v>0.91</v>
      </c>
      <c r="G11" s="2">
        <f>F11*D11</f>
        <v>5.46</v>
      </c>
    </row>
    <row r="13" spans="1:8" x14ac:dyDescent="0.25">
      <c r="A13" t="s">
        <v>34</v>
      </c>
      <c r="D13">
        <v>1</v>
      </c>
      <c r="F13" s="2">
        <f>2/5</f>
        <v>0.4</v>
      </c>
      <c r="G13" s="2">
        <f>F13*D13</f>
        <v>0.4</v>
      </c>
      <c r="H13" t="s">
        <v>35</v>
      </c>
    </row>
    <row r="14" spans="1:8" x14ac:dyDescent="0.25">
      <c r="F14" s="2"/>
      <c r="G14" s="2"/>
    </row>
    <row r="15" spans="1:8" x14ac:dyDescent="0.25">
      <c r="F15" s="2"/>
      <c r="G15" s="2">
        <f>SUM(G2:G13)</f>
        <v>13.31</v>
      </c>
    </row>
  </sheetData>
  <hyperlinks>
    <hyperlink ref="E5" r:id="rId1" xr:uid="{FA8A0ED7-77E1-45C4-A429-04F15E24A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Calvin Kesler</dc:creator>
  <cp:lastModifiedBy>John Calvin Kesler</cp:lastModifiedBy>
  <dcterms:created xsi:type="dcterms:W3CDTF">2024-11-27T20:18:07Z</dcterms:created>
  <dcterms:modified xsi:type="dcterms:W3CDTF">2024-11-27T20:43:51Z</dcterms:modified>
</cp:coreProperties>
</file>