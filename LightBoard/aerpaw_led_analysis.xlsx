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_\Desktop\school\aerpaw\vehicle-pcbs\LightBoard\"/>
    </mc:Choice>
  </mc:AlternateContent>
  <xr:revisionPtr revIDLastSave="0" documentId="13_ncr:1_{4666DB91-A2F7-4B0E-8E43-95B8BEA14CA5}" xr6:coauthVersionLast="47" xr6:coauthVersionMax="47" xr10:uidLastSave="{00000000-0000-0000-0000-000000000000}"/>
  <bookViews>
    <workbookView xWindow="-28920" yWindow="5190" windowWidth="29040" windowHeight="16440" activeTab="1" xr2:uid="{E39E2054-DE1F-455F-83FE-B8AB8C035307}"/>
  </bookViews>
  <sheets>
    <sheet name="Sheet1" sheetId="1" r:id="rId1"/>
    <sheet name="bo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H18" i="1"/>
  <c r="H16" i="1"/>
  <c r="E16" i="1" s="1"/>
  <c r="H14" i="1"/>
  <c r="E14" i="1" s="1"/>
  <c r="H13" i="1"/>
  <c r="E13" i="1" s="1"/>
  <c r="H9" i="1"/>
  <c r="E9" i="1" s="1"/>
  <c r="H8" i="1"/>
  <c r="E8" i="1"/>
  <c r="H7" i="1"/>
  <c r="E7" i="1"/>
  <c r="H6" i="1"/>
  <c r="E6" i="1" s="1"/>
  <c r="H5" i="1"/>
  <c r="E5" i="1" s="1"/>
  <c r="H4" i="1"/>
  <c r="E4" i="1" s="1"/>
  <c r="H3" i="1"/>
  <c r="E3" i="1" s="1"/>
  <c r="H2" i="1"/>
  <c r="E2" i="1" s="1"/>
</calcChain>
</file>

<file path=xl/sharedStrings.xml><?xml version="1.0" encoding="utf-8"?>
<sst xmlns="http://schemas.openxmlformats.org/spreadsheetml/2006/main" count="49" uniqueCount="44">
  <si>
    <t>LED</t>
  </si>
  <si>
    <t>Link</t>
  </si>
  <si>
    <t>Color</t>
  </si>
  <si>
    <t>V_f</t>
  </si>
  <si>
    <t>Price</t>
  </si>
  <si>
    <t>https://www.digikey.com/en/products/detail/new-energy/MHBBWT-0000-000C0BE265E-SB01/6817726</t>
  </si>
  <si>
    <t>MHBBWT</t>
  </si>
  <si>
    <t>Current (max)</t>
  </si>
  <si>
    <t>Power (80%)</t>
  </si>
  <si>
    <t>Brightness (lm/W)</t>
  </si>
  <si>
    <t>Brightness (80%)</t>
  </si>
  <si>
    <t>https://www.digikey.com/en/products/detail/bridgelux/BXRC-40C1001-C-83/15520071</t>
  </si>
  <si>
    <t>BXRC-40C1001</t>
  </si>
  <si>
    <t>4000K</t>
  </si>
  <si>
    <t>https://www.digikey.com/en/products/detail/bridgelux/BXRC-40E1000-D-83/12313698</t>
  </si>
  <si>
    <t>BXRC-40E1000</t>
  </si>
  <si>
    <t>6500K</t>
  </si>
  <si>
    <t>https://www.digikey.com/en/products/detail/new-energy/XHP70B-00-0000-0D0BP250E-SB01/7428211</t>
  </si>
  <si>
    <t>XHP70B</t>
  </si>
  <si>
    <t>5000k</t>
  </si>
  <si>
    <t>https://www.digikey.com/en/products/detail/ams-osram-usa-inc/LZ4-40CW08-0065/4970100</t>
  </si>
  <si>
    <t>LZ4-40C</t>
  </si>
  <si>
    <t>MHBBWT-0000</t>
  </si>
  <si>
    <t>https://www.digikey.com/en/products/detail/new-energy/MHBBWT-0000-000C0HC427G-SB01/6817724</t>
  </si>
  <si>
    <t>2700K</t>
  </si>
  <si>
    <t>LST1-01</t>
  </si>
  <si>
    <t>https://www.digikey.com/en/products/detail/new-energy/LST1-01C54-5765-01/16679676</t>
  </si>
  <si>
    <t>5700K</t>
  </si>
  <si>
    <t>https://www.digikey.com/en/products/detail/new-energy/LST1-01G03-5070-01/9816713</t>
  </si>
  <si>
    <t>LST1-01G03</t>
  </si>
  <si>
    <t>5000K</t>
  </si>
  <si>
    <t>red</t>
  </si>
  <si>
    <t>https://www.digikey.com/en/products/detail/ams-osram-usa-inc/LZ4-40R108-0000/4976731</t>
  </si>
  <si>
    <t>https://www.digikey.com/en/products/detail/new-energy/LST1-01H06-RED1-01/10663117</t>
  </si>
  <si>
    <t>LST1-01H06-RED1-01</t>
  </si>
  <si>
    <t>LZ4-40R108-0000</t>
  </si>
  <si>
    <t>lime</t>
  </si>
  <si>
    <t>https://www.digikey.com/en/products/detail/new-energy/LST1-01H06-LME1-01/10663113</t>
  </si>
  <si>
    <t>LST1-01H06-LME1-01</t>
  </si>
  <si>
    <t>green</t>
  </si>
  <si>
    <t>https://www.digikey.com/en/products/detail/new-energy/LST1-01H07-GRN1-01/10663119</t>
  </si>
  <si>
    <t>LST1-01H07-GRN1-01</t>
  </si>
  <si>
    <t>3mm standoffs</t>
  </si>
  <si>
    <t>jst-eh headers (2 pin)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</si>
</sst>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Brightness (80%)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Sheet1!$M$2:$M$15</c:f>
              <c:numCache>
                <c:formatCode>General</c:formatCode>
                <c:ptCount val="14"/>
                <c:pt idx="0">
                  <c:v>4.9000000000000004</c:v>
                </c:pt>
                <c:pt idx="1">
                  <c:v>24.560000000000002</c:v>
                </c:pt>
                <c:pt idx="2">
                  <c:v>19.920000000000002</c:v>
                </c:pt>
                <c:pt idx="3">
                  <c:v>23.04</c:v>
                </c:pt>
                <c:pt idx="4">
                  <c:v>10.08</c:v>
                </c:pt>
                <c:pt idx="5">
                  <c:v>4.9000000000000004</c:v>
                </c:pt>
                <c:pt idx="6">
                  <c:v>9.5519999999999996</c:v>
                </c:pt>
                <c:pt idx="7">
                  <c:v>7.919999999999999</c:v>
                </c:pt>
                <c:pt idx="8">
                  <c:v>8</c:v>
                </c:pt>
                <c:pt idx="9">
                  <c:v>1.6800000000000002</c:v>
                </c:pt>
                <c:pt idx="11">
                  <c:v>2.706</c:v>
                </c:pt>
                <c:pt idx="13">
                  <c:v>2.5620000000000003</c:v>
                </c:pt>
              </c:numCache>
            </c:numRef>
          </c:xVal>
          <c:yVal>
            <c:numRef>
              <c:f>Sheet1!$N$2:$N$15</c:f>
              <c:numCache>
                <c:formatCode>General</c:formatCode>
                <c:ptCount val="14"/>
                <c:pt idx="0">
                  <c:v>715.40000000000009</c:v>
                </c:pt>
                <c:pt idx="1">
                  <c:v>4715.5200000000004</c:v>
                </c:pt>
                <c:pt idx="2">
                  <c:v>3625.4400000000005</c:v>
                </c:pt>
                <c:pt idx="3">
                  <c:v>3479.04</c:v>
                </c:pt>
                <c:pt idx="4">
                  <c:v>1018.08</c:v>
                </c:pt>
                <c:pt idx="5">
                  <c:v>573.30000000000007</c:v>
                </c:pt>
                <c:pt idx="6">
                  <c:v>1108.0319999999999</c:v>
                </c:pt>
                <c:pt idx="7">
                  <c:v>902.87999999999988</c:v>
                </c:pt>
                <c:pt idx="8">
                  <c:v>520</c:v>
                </c:pt>
                <c:pt idx="9">
                  <c:v>82.320000000000007</c:v>
                </c:pt>
                <c:pt idx="11">
                  <c:v>365.31</c:v>
                </c:pt>
                <c:pt idx="13">
                  <c:v>299.75400000000002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E4-4204-88AA-8CF03B622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7817408"/>
        <c:axId val="1657806848"/>
      </c:scatterChart>
      <c:valAx>
        <c:axId val="165781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806848"/>
        <c:crosses val="autoZero"/>
        <c:crossBetween val="midCat"/>
      </c:valAx>
      <c:valAx>
        <c:axId val="165780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817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514350</xdr:colOff>
      <xdr:row>18</xdr:row>
      <xdr:rowOff>57150</xdr:rowOff>
    </xdr:from>
    <xdr:to>
      <xdr:col>18</xdr:col>
      <xdr:colOff>209550</xdr:colOff>
      <xdr:row>32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73755C-70F7-ECED-DD4B-7EE8D85B8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new-energy/MHBBWT-0000-000C0BE265E-SB01/6817726" TargetMode="External"/><Relationship Id="rId2" Type="http://schemas.openxmlformats.org/officeDocument/2006/relationships/hyperlink" Target="https://www.digikey.com/en/products/detail/new-energy/LST1-01C54-5765-01/16679676" TargetMode="External"/><Relationship Id="rId1" Type="http://schemas.openxmlformats.org/officeDocument/2006/relationships/hyperlink" Target="https://www.digikey.com/en/products/detail/bridgelux/BXRC-40C1001-C-83/15520071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9E3C-A042-4C75-9B93-078D2793D1B0}">
  <dimension ref="A1:N18"/>
  <sheetViews>
    <sheetView zoomScale="130" zoomScaleNormal="130" workbookViewId="0">
      <selection activeCell="H19" sqref="H19"/>
    </sheetView>
  </sheetViews>
  <sheetFormatPr defaultRowHeight="15" x14ac:dyDescent="0.25"/>
  <cols>
    <col min="1" max="1" width="12.5703125" customWidth="1"/>
    <col min="2" max="2" width="17" customWidth="1"/>
    <col min="4" max="5" width="20.5703125" customWidth="1"/>
    <col min="7" max="7" width="14.140625" customWidth="1"/>
    <col min="8" max="8" width="14" customWidth="1"/>
    <col min="13" max="13" width="13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7</v>
      </c>
      <c r="H1" t="s">
        <v>8</v>
      </c>
      <c r="I1" t="s">
        <v>4</v>
      </c>
      <c r="M1" t="s">
        <v>8</v>
      </c>
      <c r="N1" t="s">
        <v>10</v>
      </c>
    </row>
    <row r="2" spans="1:14" x14ac:dyDescent="0.25">
      <c r="A2" t="s">
        <v>6</v>
      </c>
      <c r="B2" s="2" t="s">
        <v>5</v>
      </c>
      <c r="C2" t="s">
        <v>16</v>
      </c>
      <c r="D2">
        <v>146</v>
      </c>
      <c r="E2">
        <f t="shared" ref="E2:E9" si="0">D2*H2</f>
        <v>715.40000000000009</v>
      </c>
      <c r="F2">
        <v>8.75</v>
      </c>
      <c r="G2">
        <v>0.7</v>
      </c>
      <c r="H2">
        <f t="shared" ref="H2:H9" si="1">F2*G2*0.8</f>
        <v>4.9000000000000004</v>
      </c>
      <c r="I2">
        <v>6.24</v>
      </c>
      <c r="M2">
        <v>4.9000000000000004</v>
      </c>
      <c r="N2">
        <v>715.40000000000009</v>
      </c>
    </row>
    <row r="3" spans="1:14" s="1" customFormat="1" x14ac:dyDescent="0.25">
      <c r="A3" s="1" t="s">
        <v>12</v>
      </c>
      <c r="B3" s="2" t="s">
        <v>11</v>
      </c>
      <c r="C3" s="1" t="s">
        <v>13</v>
      </c>
      <c r="D3" s="1">
        <v>192</v>
      </c>
      <c r="E3" s="1">
        <f t="shared" si="0"/>
        <v>4715.5200000000004</v>
      </c>
      <c r="F3" s="1">
        <v>30.7</v>
      </c>
      <c r="G3" s="1">
        <v>1</v>
      </c>
      <c r="H3" s="1">
        <f t="shared" si="1"/>
        <v>24.560000000000002</v>
      </c>
      <c r="I3" s="1">
        <v>7.1</v>
      </c>
      <c r="M3" s="1">
        <v>24.560000000000002</v>
      </c>
      <c r="N3" s="1">
        <v>4715.5200000000004</v>
      </c>
    </row>
    <row r="4" spans="1:14" s="1" customFormat="1" x14ac:dyDescent="0.25">
      <c r="A4" s="1" t="s">
        <v>15</v>
      </c>
      <c r="B4" s="1" t="s">
        <v>14</v>
      </c>
      <c r="C4" s="1" t="s">
        <v>13</v>
      </c>
      <c r="D4" s="1">
        <v>182</v>
      </c>
      <c r="E4" s="1">
        <f t="shared" si="0"/>
        <v>3625.4400000000005</v>
      </c>
      <c r="F4" s="1">
        <v>24.9</v>
      </c>
      <c r="G4" s="1">
        <v>1</v>
      </c>
      <c r="H4" s="1">
        <f t="shared" si="1"/>
        <v>19.920000000000002</v>
      </c>
      <c r="I4" s="1">
        <v>4.78</v>
      </c>
      <c r="M4" s="1">
        <v>19.920000000000002</v>
      </c>
      <c r="N4" s="1">
        <v>3625.4400000000005</v>
      </c>
    </row>
    <row r="5" spans="1:14" s="1" customFormat="1" x14ac:dyDescent="0.25">
      <c r="A5" s="1" t="s">
        <v>18</v>
      </c>
      <c r="B5" s="1" t="s">
        <v>17</v>
      </c>
      <c r="C5" s="1" t="s">
        <v>19</v>
      </c>
      <c r="D5" s="1">
        <v>151</v>
      </c>
      <c r="E5" s="1">
        <f t="shared" si="0"/>
        <v>3479.04</v>
      </c>
      <c r="F5" s="1">
        <v>12</v>
      </c>
      <c r="G5" s="1">
        <v>2.4</v>
      </c>
      <c r="H5" s="1">
        <f t="shared" si="1"/>
        <v>23.04</v>
      </c>
      <c r="I5" s="1">
        <v>20.5</v>
      </c>
      <c r="M5" s="1">
        <v>23.04</v>
      </c>
      <c r="N5" s="1">
        <v>3479.04</v>
      </c>
    </row>
    <row r="6" spans="1:14" s="1" customFormat="1" x14ac:dyDescent="0.25">
      <c r="A6" s="1" t="s">
        <v>21</v>
      </c>
      <c r="B6" s="1" t="s">
        <v>20</v>
      </c>
      <c r="C6" s="1" t="s">
        <v>16</v>
      </c>
      <c r="D6" s="1">
        <v>101</v>
      </c>
      <c r="E6" s="1">
        <f t="shared" si="0"/>
        <v>1018.08</v>
      </c>
      <c r="F6" s="1">
        <v>12.6</v>
      </c>
      <c r="G6" s="1">
        <v>1</v>
      </c>
      <c r="H6" s="1">
        <f t="shared" si="1"/>
        <v>10.08</v>
      </c>
      <c r="I6" s="1">
        <v>16.5</v>
      </c>
      <c r="M6" s="1">
        <v>10.08</v>
      </c>
      <c r="N6" s="1">
        <v>1018.08</v>
      </c>
    </row>
    <row r="7" spans="1:14" s="1" customFormat="1" x14ac:dyDescent="0.25">
      <c r="A7" s="1" t="s">
        <v>22</v>
      </c>
      <c r="B7" s="1" t="s">
        <v>23</v>
      </c>
      <c r="C7" s="1" t="s">
        <v>24</v>
      </c>
      <c r="D7" s="1">
        <v>117</v>
      </c>
      <c r="E7" s="1">
        <f t="shared" si="0"/>
        <v>573.30000000000007</v>
      </c>
      <c r="F7" s="1">
        <v>8.75</v>
      </c>
      <c r="G7" s="1">
        <v>0.7</v>
      </c>
      <c r="H7" s="1">
        <f t="shared" si="1"/>
        <v>4.9000000000000004</v>
      </c>
      <c r="I7" s="1">
        <v>6.69</v>
      </c>
      <c r="M7" s="1">
        <v>4.9000000000000004</v>
      </c>
      <c r="N7" s="1">
        <v>573.30000000000007</v>
      </c>
    </row>
    <row r="8" spans="1:14" x14ac:dyDescent="0.25">
      <c r="A8" t="s">
        <v>25</v>
      </c>
      <c r="B8" s="2" t="s">
        <v>26</v>
      </c>
      <c r="C8" t="s">
        <v>27</v>
      </c>
      <c r="D8">
        <v>116</v>
      </c>
      <c r="E8">
        <f t="shared" si="0"/>
        <v>1108.0319999999999</v>
      </c>
      <c r="F8">
        <v>3.98</v>
      </c>
      <c r="G8">
        <v>3</v>
      </c>
      <c r="H8">
        <f t="shared" si="1"/>
        <v>9.5519999999999996</v>
      </c>
      <c r="I8">
        <v>10.24</v>
      </c>
      <c r="M8">
        <v>9.5519999999999996</v>
      </c>
      <c r="N8">
        <v>1108.0319999999999</v>
      </c>
    </row>
    <row r="9" spans="1:14" x14ac:dyDescent="0.25">
      <c r="A9" t="s">
        <v>29</v>
      </c>
      <c r="B9" t="s">
        <v>28</v>
      </c>
      <c r="C9" t="s">
        <v>30</v>
      </c>
      <c r="D9">
        <v>114</v>
      </c>
      <c r="E9">
        <f t="shared" si="0"/>
        <v>902.87999999999988</v>
      </c>
      <c r="F9">
        <v>3.3</v>
      </c>
      <c r="G9">
        <v>3</v>
      </c>
      <c r="H9">
        <f t="shared" si="1"/>
        <v>7.919999999999999</v>
      </c>
      <c r="I9">
        <v>4.28</v>
      </c>
      <c r="M9">
        <v>7.919999999999999</v>
      </c>
      <c r="N9">
        <v>902.87999999999988</v>
      </c>
    </row>
    <row r="10" spans="1:14" x14ac:dyDescent="0.25">
      <c r="M10">
        <v>8</v>
      </c>
      <c r="N10">
        <v>520</v>
      </c>
    </row>
    <row r="11" spans="1:14" x14ac:dyDescent="0.25">
      <c r="M11">
        <v>1.6800000000000002</v>
      </c>
      <c r="N11">
        <v>82.320000000000007</v>
      </c>
    </row>
    <row r="13" spans="1:14" x14ac:dyDescent="0.25">
      <c r="A13" t="s">
        <v>35</v>
      </c>
      <c r="B13" t="s">
        <v>32</v>
      </c>
      <c r="C13" t="s">
        <v>31</v>
      </c>
      <c r="D13">
        <v>65</v>
      </c>
      <c r="E13">
        <f t="shared" ref="E13:E18" si="2">D13*H13</f>
        <v>520</v>
      </c>
      <c r="F13">
        <v>10</v>
      </c>
      <c r="G13">
        <v>1</v>
      </c>
      <c r="H13">
        <f t="shared" ref="H13:H18" si="3">F13*G13*0.8</f>
        <v>8</v>
      </c>
      <c r="I13">
        <v>13.91</v>
      </c>
      <c r="M13">
        <v>2.706</v>
      </c>
      <c r="N13">
        <v>365.31</v>
      </c>
    </row>
    <row r="14" spans="1:14" x14ac:dyDescent="0.25">
      <c r="A14" t="s">
        <v>34</v>
      </c>
      <c r="B14" t="s">
        <v>33</v>
      </c>
      <c r="C14" t="s">
        <v>31</v>
      </c>
      <c r="D14">
        <v>49</v>
      </c>
      <c r="E14">
        <f t="shared" si="2"/>
        <v>82.320000000000007</v>
      </c>
      <c r="F14">
        <v>2</v>
      </c>
      <c r="G14">
        <v>1.05</v>
      </c>
      <c r="H14">
        <f t="shared" si="3"/>
        <v>1.6800000000000002</v>
      </c>
      <c r="I14">
        <v>4.22</v>
      </c>
    </row>
    <row r="15" spans="1:14" x14ac:dyDescent="0.25">
      <c r="M15">
        <v>2.5620000000000003</v>
      </c>
      <c r="N15">
        <v>299.75400000000002</v>
      </c>
    </row>
    <row r="16" spans="1:14" x14ac:dyDescent="0.25">
      <c r="A16" t="s">
        <v>38</v>
      </c>
      <c r="B16" t="s">
        <v>37</v>
      </c>
      <c r="C16" t="s">
        <v>36</v>
      </c>
      <c r="D16">
        <v>135</v>
      </c>
      <c r="E16">
        <f t="shared" si="2"/>
        <v>365.31</v>
      </c>
      <c r="F16">
        <v>2.75</v>
      </c>
      <c r="G16">
        <v>1.23</v>
      </c>
      <c r="H16">
        <f t="shared" si="3"/>
        <v>2.706</v>
      </c>
      <c r="I16">
        <v>5.72</v>
      </c>
    </row>
    <row r="18" spans="1:9" x14ac:dyDescent="0.25">
      <c r="A18" t="s">
        <v>41</v>
      </c>
      <c r="B18" t="s">
        <v>40</v>
      </c>
      <c r="C18" t="s">
        <v>39</v>
      </c>
      <c r="D18">
        <v>117</v>
      </c>
      <c r="E18">
        <f t="shared" si="2"/>
        <v>299.75400000000002</v>
      </c>
      <c r="F18">
        <v>3.05</v>
      </c>
      <c r="G18">
        <v>1.05</v>
      </c>
      <c r="H18">
        <f t="shared" si="3"/>
        <v>2.5620000000000003</v>
      </c>
      <c r="I18">
        <v>4.22</v>
      </c>
    </row>
  </sheetData>
  <hyperlinks>
    <hyperlink ref="B3" r:id="rId1" xr:uid="{DA915ACF-84A1-4B7F-843B-89B6E8384B5C}"/>
    <hyperlink ref="B8" r:id="rId2" xr:uid="{0CC8C542-3C3A-4458-BEA6-F009ABF626C5}"/>
    <hyperlink ref="B2" r:id="rId3" xr:uid="{D93A0EFB-D997-42E9-875C-1395530DB48B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7A63D-D254-4432-A379-5F12FFB2F5C0}">
  <dimension ref="A1:A2"/>
  <sheetViews>
    <sheetView tabSelected="1" workbookViewId="0">
      <selection activeCell="A3" sqref="A3"/>
    </sheetView>
  </sheetViews>
  <sheetFormatPr defaultRowHeight="15" x14ac:dyDescent="0.25"/>
  <cols>
    <col min="1" max="1" width="21.7109375" customWidth="1"/>
  </cols>
  <sheetData>
    <row r="1" spans="1:1" x14ac:dyDescent="0.25">
      <c r="A1" t="s">
        <v>42</v>
      </c>
    </row>
    <row r="2" spans="1:1" x14ac:dyDescent="0.25">
      <c r="A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Calvin Kesler</dc:creator>
  <cp:lastModifiedBy>John Calvin Kesler</cp:lastModifiedBy>
  <dcterms:created xsi:type="dcterms:W3CDTF">2024-10-01T16:34:05Z</dcterms:created>
  <dcterms:modified xsi:type="dcterms:W3CDTF">2024-11-15T19:44:48Z</dcterms:modified>
</cp:coreProperties>
</file>